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<sst xmlns="http://schemas.openxmlformats.org/spreadsheetml/2006/main" count="65" uniqueCount="62">
  <si>
    <t>上机课程实验报告</t>
  </si>
  <si>
    <t>组长：</t>
  </si>
  <si>
    <t>万泽宇</t>
  </si>
  <si>
    <t>组员：</t>
  </si>
  <si>
    <t>组员：梅帅、焦嘉禾、蒋鹏伟</t>
  </si>
  <si>
    <t>测试事项基本信息</t>
  </si>
  <si>
    <r>
      <rPr>
        <sz val="11"/>
        <color rgb="FF333333"/>
        <rFont val="宋体"/>
        <charset val="134"/>
        <scheme val="minor"/>
      </rPr>
      <t>测试的事项由各小组自己选择，具体要求如下：
1.是个人（自然人）办事事项，即用身份证号码注册后即可办理的事项。
2.</t>
    </r>
    <r>
      <rPr>
        <sz val="11"/>
        <color rgb="FFFFC000"/>
        <rFont val="宋体"/>
        <charset val="134"/>
        <scheme val="minor"/>
      </rPr>
      <t>所选事项必须包含承诺时限为1个工作日（即办件）和多个工作日（承诺件）等不同情形。</t>
    </r>
    <r>
      <rPr>
        <sz val="11"/>
        <color rgb="FF333333"/>
        <rFont val="宋体"/>
        <charset val="134"/>
        <scheme val="minor"/>
      </rPr>
      <t xml:space="preserve">
3.</t>
    </r>
    <r>
      <rPr>
        <sz val="11"/>
        <color rgb="FFFFC000"/>
        <rFont val="宋体"/>
        <charset val="134"/>
        <scheme val="minor"/>
      </rPr>
      <t>测试事项以不得少于6项。</t>
    </r>
  </si>
  <si>
    <t>部门</t>
  </si>
  <si>
    <t>事项大项名称</t>
  </si>
  <si>
    <t>事项子项名称</t>
  </si>
  <si>
    <t>重点城市开放数据评估记录指标体系</t>
  </si>
  <si>
    <t>一、客观部分评分(满分60分）</t>
  </si>
  <si>
    <t>一级指标</t>
  </si>
  <si>
    <t>二级指标</t>
  </si>
  <si>
    <t>三级指标</t>
  </si>
  <si>
    <t>采集方法</t>
  </si>
  <si>
    <t>评分标准</t>
  </si>
  <si>
    <t>广州</t>
  </si>
  <si>
    <t>杭州</t>
  </si>
  <si>
    <t>上海</t>
  </si>
  <si>
    <t>济南</t>
  </si>
  <si>
    <t>福州</t>
  </si>
  <si>
    <t>数据开放广度</t>
  </si>
  <si>
    <t>重点领域数据集（教育/经济/生态/公共安全/生活服务）</t>
  </si>
  <si>
    <t>（教育/经济/生态/公共安全/民生）</t>
  </si>
  <si>
    <t>1.进入城市开放数据平台→2.定位"数据分类"模块→3.分别统计5个重点领域数据集（目录）数量→4.求和</t>
  </si>
  <si>
    <r>
      <rPr>
        <sz val="10"/>
        <color theme="1"/>
        <rFont val="Calibri"/>
        <charset val="134"/>
      </rPr>
      <t>≥200</t>
    </r>
    <r>
      <rPr>
        <sz val="10"/>
        <color theme="1"/>
        <rFont val="宋体"/>
        <charset val="134"/>
      </rPr>
      <t>个得</t>
    </r>
    <r>
      <rPr>
        <sz val="10"/>
        <color theme="1"/>
        <rFont val="Calibri"/>
        <charset val="134"/>
      </rPr>
      <t>20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150-199</t>
    </r>
    <r>
      <rPr>
        <sz val="10"/>
        <color theme="1"/>
        <rFont val="宋体"/>
        <charset val="134"/>
      </rPr>
      <t>个得</t>
    </r>
    <r>
      <rPr>
        <sz val="10"/>
        <color theme="1"/>
        <rFont val="Calibri"/>
        <charset val="134"/>
      </rPr>
      <t>15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100-149</t>
    </r>
    <r>
      <rPr>
        <sz val="10"/>
        <color theme="1"/>
        <rFont val="宋体"/>
        <charset val="134"/>
      </rPr>
      <t>个得</t>
    </r>
    <r>
      <rPr>
        <sz val="10"/>
        <color theme="1"/>
        <rFont val="Calibri"/>
        <charset val="134"/>
      </rPr>
      <t>10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50-99</t>
    </r>
    <r>
      <rPr>
        <sz val="10"/>
        <color theme="1"/>
        <rFont val="宋体"/>
        <charset val="134"/>
      </rPr>
      <t>个得</t>
    </r>
    <r>
      <rPr>
        <sz val="10"/>
        <color theme="1"/>
        <rFont val="Calibri"/>
        <charset val="134"/>
      </rPr>
      <t>5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&lt;50</t>
    </r>
    <r>
      <rPr>
        <sz val="10"/>
        <color theme="1"/>
        <rFont val="宋体"/>
        <charset val="134"/>
      </rPr>
      <t>个得</t>
    </r>
    <r>
      <rPr>
        <sz val="10"/>
        <color theme="1"/>
        <rFont val="Calibri"/>
        <charset val="134"/>
      </rPr>
      <t>0</t>
    </r>
    <r>
      <rPr>
        <sz val="10"/>
        <color theme="1"/>
        <rFont val="宋体"/>
        <charset val="134"/>
      </rPr>
      <t>分</t>
    </r>
  </si>
  <si>
    <t>人均可开放数据集（目录）数量（个/万人）</t>
  </si>
  <si>
    <t>1.获取城市常住人口数（访问当地城市统计局官网）→2.统计平台总开放数据集（目录）数量→3.计算：总数量/常住人口（万人）</t>
  </si>
  <si>
    <r>
      <rPr>
        <sz val="10"/>
        <color theme="1"/>
        <rFont val="Calibri"/>
        <charset val="134"/>
      </rPr>
      <t>≥0.5</t>
    </r>
    <r>
      <rPr>
        <sz val="10"/>
        <color theme="1"/>
        <rFont val="宋体"/>
        <charset val="134"/>
      </rPr>
      <t>个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万人得</t>
    </r>
    <r>
      <rPr>
        <sz val="10"/>
        <color theme="1"/>
        <rFont val="Calibri"/>
        <charset val="134"/>
      </rPr>
      <t>10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0.3-0.49</t>
    </r>
    <r>
      <rPr>
        <sz val="10"/>
        <color theme="1"/>
        <rFont val="宋体"/>
        <charset val="134"/>
      </rPr>
      <t>个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万人得</t>
    </r>
    <r>
      <rPr>
        <sz val="10"/>
        <color theme="1"/>
        <rFont val="Calibri"/>
        <charset val="134"/>
      </rPr>
      <t>8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0.1-0.29</t>
    </r>
    <r>
      <rPr>
        <sz val="10"/>
        <color theme="1"/>
        <rFont val="宋体"/>
        <charset val="134"/>
      </rPr>
      <t>个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万人得</t>
    </r>
    <r>
      <rPr>
        <sz val="10"/>
        <color theme="1"/>
        <rFont val="Calibri"/>
        <charset val="134"/>
      </rPr>
      <t>5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&lt;0.1</t>
    </r>
    <r>
      <rPr>
        <sz val="10"/>
        <color theme="1"/>
        <rFont val="宋体"/>
        <charset val="134"/>
      </rPr>
      <t>个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万人得</t>
    </r>
    <r>
      <rPr>
        <sz val="10"/>
        <color theme="1"/>
        <rFont val="Calibri"/>
        <charset val="134"/>
      </rPr>
      <t>0</t>
    </r>
    <r>
      <rPr>
        <sz val="10"/>
        <color theme="1"/>
        <rFont val="宋体"/>
        <charset val="134"/>
      </rPr>
      <t>分</t>
    </r>
  </si>
  <si>
    <t>格式规范性</t>
  </si>
  <si>
    <t>可机器读取格式（CSV/JSON）数据集（目录）占比（%）</t>
  </si>
  <si>
    <t>可机器读取格式（CSV/JSON）</t>
  </si>
  <si>
    <t>1.随机选取20个数据集（目录）→2.统计支持CSV/JSON格式的数据集（目录）数量（C）→3.计算：(C/20)×100%</t>
  </si>
  <si>
    <r>
      <rPr>
        <sz val="10"/>
        <color theme="1"/>
        <rFont val="Calibri"/>
        <charset val="134"/>
      </rPr>
      <t>≥90%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charset val="134"/>
      </rPr>
      <t>10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80-89%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charset val="134"/>
      </rPr>
      <t>8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70-79%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charset val="134"/>
      </rPr>
      <t>6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&lt;70%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charset val="134"/>
      </rPr>
      <t>0</t>
    </r>
    <r>
      <rPr>
        <sz val="10"/>
        <color theme="1"/>
        <rFont val="宋体"/>
        <charset val="134"/>
      </rPr>
      <t>分</t>
    </r>
  </si>
  <si>
    <t>数据更新及时性</t>
  </si>
  <si>
    <t>近3个月更新数据集（目录）占比（%）</t>
  </si>
  <si>
    <t>1.随机选取20个数据集（目录）→2.筛选"近3个月更新"数据集数量（B）→3.计算：(B/20)×100%</t>
  </si>
  <si>
    <r>
      <rPr>
        <sz val="10"/>
        <color theme="1"/>
        <rFont val="Calibri"/>
        <charset val="134"/>
      </rPr>
      <t>≥80%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charset val="134"/>
      </rPr>
      <t>10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70-79%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charset val="134"/>
      </rPr>
      <t>8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60-69%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charset val="134"/>
      </rPr>
      <t>6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50-59%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charset val="134"/>
      </rPr>
      <t>4</t>
    </r>
    <r>
      <rPr>
        <sz val="10"/>
        <color theme="1"/>
        <rFont val="宋体"/>
        <charset val="134"/>
      </rPr>
      <t>分，</t>
    </r>
    <r>
      <rPr>
        <sz val="10"/>
        <color theme="1"/>
        <rFont val="Calibri"/>
        <charset val="134"/>
      </rPr>
      <t>&lt;50%</t>
    </r>
    <r>
      <rPr>
        <sz val="10"/>
        <color theme="1"/>
        <rFont val="宋体"/>
        <charset val="134"/>
      </rPr>
      <t>得</t>
    </r>
    <r>
      <rPr>
        <sz val="10"/>
        <color theme="1"/>
        <rFont val="Calibri"/>
        <charset val="134"/>
      </rPr>
      <t>0</t>
    </r>
    <r>
      <rPr>
        <sz val="10"/>
        <color theme="1"/>
        <rFont val="宋体"/>
        <charset val="134"/>
      </rPr>
      <t>分</t>
    </r>
  </si>
  <si>
    <t>可访问性</t>
  </si>
  <si>
    <t>无需注册即可下载的数据集（目录）占比（%）</t>
  </si>
  <si>
    <t>事项编码</t>
  </si>
  <si>
    <t>1.随机选取20个数据集（目录）→2.统计无需注册即可下载的数量（D）→3.计算：(D/20)×100%</t>
  </si>
  <si>
    <t>≥80%得10分，60-79%得5分，&lt;60%得0分</t>
  </si>
  <si>
    <t>客观部分得分小计</t>
  </si>
  <si>
    <t>二、主观部分评分(满分40分）</t>
  </si>
  <si>
    <t>浏览体验</t>
  </si>
  <si>
    <t>页面设计是否美观，文字及图表阅读是否舒适，网站的页面布局和栏目的设置是否符合用户习惯和实际需求，能否快速定位到自己所需要的信息和服务。</t>
  </si>
  <si>
    <t>（小组成员自行商议，评分标准和最终得分，单项满分 10分）</t>
  </si>
  <si>
    <t>功能体验</t>
  </si>
  <si>
    <t>网站上提供的功能是否足够丰富、实用。</t>
  </si>
  <si>
    <t>（小组成员自行商议评分标准和最终得分，单项满分 10分）</t>
  </si>
  <si>
    <t>交互体验</t>
  </si>
  <si>
    <t>每个城市的网站注册一个用户，并以企业设立为例，网站需要填写的表单是否简单智能，操作流程是否合理简洁，服务引导提示是否醒目实用。</t>
  </si>
  <si>
    <t>服务可用性</t>
  </si>
  <si>
    <t>网站在不同的浏览器，在手机端、平板端等不同的终端下是否可以正常的打开，是否配置英文或其它语言版本，是否有残疾人版本，已有的功能页面（按钮）中是否有加载缓慢报错的情况。</t>
  </si>
  <si>
    <t>主观部分得分小计</t>
  </si>
  <si>
    <t>合计得分：</t>
  </si>
  <si>
    <t>三、综合点评</t>
  </si>
  <si>
    <t>本次实验以落实数据开放政策、评估城市数据服务水平为目标，通过对广州、杭州、上海、济南、福州五个典型城市的政府数据开放平台进行实地测评，深入了解了我国开放数林指数的现状。测评过程严格依据《中华人民共和国数据安全法》等法律法规，从数据开放广度、格式规范性、更新及时性、可访问性四个客观维度，以及浏览、功能、交互体验与服务可用性四个主观维度进行了综合衡量。在客观评价中，五个城市在重点领域数据集建设上均表现出色，基本达到了满分标准，但在数据更新及时性方面存在显著差异，上海以较高的近期数据更新率领先，而广州、杭州等地在测评样本中显示出一定的滞后。从主观体验来看，上海与杭州的平台设计更符合用户习惯，功能丰富且交互流程简洁，展现了较高的数字化政务服务成熟度。综合来看，我国重点城市公共数据开放利用水平正稳步提升，但在人均可开放数据集数量及跨终端服务可用性上仍有优化空间，未来应进一步强化数据价值转化，推动如气象、交通、环境等多维数据的深度融合与创新应用。</t>
  </si>
  <si>
    <t>测评小组基础信息</t>
  </si>
  <si>
    <t>班级：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</si>
</sst>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8"/>
      <color rgb="FF333333"/>
      <name val="宋体"/>
      <charset val="134"/>
      <scheme val="minor"/>
    </font>
    <font>
      <b/>
      <sz val="20"/>
      <name val="宋体"/>
      <charset val="134"/>
      <scheme val="minor"/>
    </font>
    <font>
      <sz val="11"/>
      <color rgb="FF000000"/>
      <name val="宋体"/>
      <charset val="134"/>
    </font>
    <font>
      <sz val="11"/>
      <color rgb="FF333333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Calibri"/>
      <charset val="134"/>
    </font>
    <font>
      <sz val="11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C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E7F4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rgb="FFA5D29A"/>
      </top>
      <bottom style="medium">
        <color rgb="FFA5D29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A5D29A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7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0" fillId="2" borderId="7" xfId="0" applyFill="1" applyBorder="1"/>
    <xf numFmtId="0" fontId="3" fillId="2" borderId="7" xfId="0" applyFont="1" applyFill="1" applyBorder="1"/>
    <xf numFmtId="0" fontId="3" fillId="2" borderId="7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4" fillId="0" borderId="7" xfId="0" applyFont="1" applyBorder="1"/>
    <xf numFmtId="0" fontId="4" fillId="3" borderId="7" xfId="0" applyFont="1" applyFill="1" applyBorder="1" applyAlignment="1">
      <alignment horizontal="justify" vertical="center" wrapText="1"/>
    </xf>
    <xf numFmtId="0" fontId="6" fillId="3" borderId="7" xfId="0" applyFont="1" applyFill="1" applyBorder="1" applyAlignment="1">
      <alignment horizontal="justify" vertical="center" wrapText="1"/>
    </xf>
    <xf numFmtId="0" fontId="4" fillId="3" borderId="7" xfId="0" applyFont="1" applyFill="1" applyBorder="1"/>
    <xf numFmtId="0" fontId="4" fillId="0" borderId="7" xfId="0" applyFont="1" applyBorder="1" applyAlignment="1">
      <alignment horizontal="justify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7" xfId="0" applyFont="1" applyBorder="1" applyAlignment="1">
      <alignment vertical="top" wrapText="1"/>
    </xf>
    <xf numFmtId="0" fontId="4" fillId="3" borderId="7" xfId="0" applyFont="1" applyFill="1" applyBorder="1" applyAlignment="1">
      <alignment vertical="top" wrapText="1"/>
    </xf>
    <xf numFmtId="0" fontId="4" fillId="0" borderId="7" xfId="0" applyFont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7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E7F4E3"/>
        </patternFill>
      </fill>
      <border>
        <left/>
        <right/>
        <top style="thin">
          <color rgb="FFA5D29A"/>
        </top>
        <bottom style="thin">
          <color rgb="FFA5D29A"/>
        </bottom>
        <vertical/>
        <horizontal/>
      </border>
    </dxf>
    <dxf>
      <font>
        <b val="1"/>
        <i val="0"/>
        <u val="none"/>
        <sz val="11"/>
        <color rgb="FF7DBD6B"/>
      </font>
      <border>
        <left/>
        <right/>
        <top style="medium">
          <color rgb="FFA5D29A"/>
        </top>
        <bottom style="medium">
          <color rgb="FFA5D29A"/>
        </bottom>
        <vertical/>
        <horizontal/>
      </border>
    </dxf>
    <dxf>
      <font>
        <b val="0"/>
        <i val="0"/>
        <u val="none"/>
        <sz val="11"/>
        <color rgb="FF333333"/>
      </font>
      <border>
        <left/>
        <right/>
        <top/>
        <bottom style="medium">
          <color rgb="FFA5D29A"/>
        </bottom>
        <vertical/>
        <horizontal/>
      </border>
    </dxf>
  </dxfs>
  <tableStyles count="1" defaultTableStyle="TableStyleMedium2" defaultPivotStyle="PivotStyleMedium9">
    <tableStyle name="绿色浅色系三线式镶边行表格样式" count="3" xr9:uid="{4E82F46A-06F2-4843-9598-ED8F89552676}">
      <tableStyleElement type="wholeTable" dxfId="2"/>
      <tableStyleElement type="header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selection activeCell="A1" sqref="A1:J1"/>
    </sheetView>
  </sheetViews>
  <sheetFormatPr defaultColWidth="9" defaultRowHeight="13.5"/>
  <cols>
    <col min="1" max="1" width="16.1769911504425" customWidth="1"/>
    <col min="2" max="2" width="25" customWidth="1"/>
    <col min="3" max="3" width="20.6371681415929" hidden="1" customWidth="1"/>
    <col min="4" max="4" width="44.5398230088496" customWidth="1"/>
    <col min="5" max="5" width="34.8141592920354" customWidth="1"/>
    <col min="6" max="6" width="8" customWidth="1"/>
  </cols>
  <sheetData>
    <row r="1" ht="25.85" spans="1:10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ht="35" customHeight="1" spans="1:10">
      <c r="A2" s="10" t="s">
        <v>1</v>
      </c>
      <c r="B2" s="11" t="s">
        <v>2</v>
      </c>
      <c r="C2" s="10" t="s">
        <v>3</v>
      </c>
      <c r="D2" s="12" t="s">
        <v>4</v>
      </c>
      <c r="E2" s="13"/>
      <c r="F2" s="13"/>
      <c r="G2" s="13"/>
      <c r="H2" s="13"/>
      <c r="I2" s="13"/>
      <c r="J2" s="13"/>
    </row>
    <row r="3" spans="1:10">
      <c r="D3" s="14"/>
      <c r="E3" s="14"/>
      <c r="F3" s="14"/>
      <c r="G3" s="14"/>
      <c r="H3" s="14"/>
      <c r="I3" s="14"/>
      <c r="J3" s="14"/>
    </row>
    <row r="4" ht="42" hidden="1" customHeight="1" spans="1:10">
      <c r="A4" s="15" t="s">
        <v>5</v>
      </c>
      <c r="B4" s="15"/>
      <c r="C4" s="15"/>
      <c r="D4" s="15"/>
      <c r="E4" s="15"/>
      <c r="F4" s="15"/>
      <c r="G4" s="15"/>
      <c r="H4" s="15"/>
      <c r="I4" s="15"/>
      <c r="J4" s="15"/>
    </row>
    <row r="5" ht="72" hidden="1" customHeight="1" spans="1:10">
      <c r="A5" s="16" t="s">
        <v>6</v>
      </c>
      <c r="B5" s="16"/>
      <c r="C5" s="16"/>
      <c r="D5" s="16"/>
      <c r="E5" s="16"/>
      <c r="F5" s="16"/>
      <c r="G5" s="16"/>
      <c r="H5" s="16"/>
      <c r="I5" s="16"/>
      <c r="J5" s="16"/>
    </row>
    <row r="6" hidden="1" spans="1:10">
      <c r="A6" s="17" t="s">
        <v>7</v>
      </c>
      <c r="B6" s="17" t="s">
        <v>8</v>
      </c>
      <c r="C6" s="17"/>
      <c r="D6" s="17"/>
      <c r="E6" s="17" t="s">
        <v>9</v>
      </c>
      <c r="F6" s="17"/>
      <c r="G6" s="17"/>
      <c r="H6" s="17"/>
      <c r="I6" s="17"/>
      <c r="J6" s="17"/>
    </row>
    <row r="7" hidden="1" spans="1:10">
      <c r="A7" s="18"/>
      <c r="B7" s="18"/>
      <c r="C7" s="18"/>
      <c r="D7" s="18"/>
      <c r="E7" s="18"/>
      <c r="F7" s="18"/>
      <c r="G7" s="18"/>
      <c r="H7" s="18"/>
      <c r="I7" s="18"/>
      <c r="J7" s="18"/>
    </row>
    <row r="8" hidden="1" spans="1:10">
      <c r="A8" s="17"/>
      <c r="B8" s="17"/>
      <c r="C8" s="17"/>
      <c r="D8" s="17"/>
      <c r="E8" s="17"/>
      <c r="F8" s="17"/>
      <c r="G8" s="17"/>
      <c r="H8" s="17"/>
      <c r="I8" s="17"/>
      <c r="J8" s="17"/>
    </row>
    <row r="9" hidden="1" spans="1:10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hidden="1" spans="1:10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hidden="1" spans="1:10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hidden="1" spans="1:10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hidden="1" spans="1:10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hidden="1" spans="1:10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ht="25.1" spans="1:10">
      <c r="A15" s="19" t="s">
        <v>10</v>
      </c>
      <c r="B15" s="19"/>
      <c r="C15" s="19"/>
      <c r="D15" s="19"/>
      <c r="E15" s="19"/>
      <c r="F15" s="19"/>
      <c r="G15" s="19"/>
      <c r="H15" s="19"/>
      <c r="I15" s="19"/>
      <c r="J15" s="19"/>
    </row>
    <row r="16" spans="1:10">
      <c r="A16" s="18" t="s">
        <v>11</v>
      </c>
      <c r="B16" s="18"/>
      <c r="C16" s="18"/>
      <c r="D16" s="18"/>
      <c r="E16" s="18"/>
      <c r="F16" s="18"/>
      <c r="G16" s="18"/>
      <c r="H16" s="18"/>
      <c r="I16" s="18"/>
      <c r="J16" s="18"/>
    </row>
    <row r="17" spans="1:10">
      <c r="A17" s="17" t="s">
        <v>12</v>
      </c>
      <c r="B17" s="17" t="s">
        <v>13</v>
      </c>
      <c r="C17" s="17" t="s">
        <v>14</v>
      </c>
      <c r="D17" s="17" t="s">
        <v>15</v>
      </c>
      <c r="E17" s="17" t="s">
        <v>16</v>
      </c>
      <c r="F17" s="17" t="s">
        <v>17</v>
      </c>
      <c r="G17" s="17" t="s">
        <v>18</v>
      </c>
      <c r="H17" s="17" t="s">
        <v>19</v>
      </c>
      <c r="I17" s="17" t="s">
        <v>20</v>
      </c>
      <c r="J17" s="17" t="s">
        <v>21</v>
      </c>
    </row>
    <row r="18" ht="27" spans="1:10">
      <c r="A18" s="18" t="s">
        <v>22</v>
      </c>
      <c r="B18" s="18" t="s">
        <v>23</v>
      </c>
      <c r="C18" s="18" t="s">
        <v>24</v>
      </c>
      <c r="D18" s="20" t="s">
        <v>25</v>
      </c>
      <c r="E18" s="21" t="s">
        <v>26</v>
      </c>
      <c r="F18" s="22">
        <v>20</v>
      </c>
      <c r="G18" s="22">
        <v>20</v>
      </c>
      <c r="H18" s="22">
        <v>20</v>
      </c>
      <c r="I18" s="22">
        <v>20</v>
      </c>
      <c r="J18" s="22">
        <v>20</v>
      </c>
    </row>
    <row r="19" ht="40.5" spans="1:10">
      <c r="A19" s="18"/>
      <c r="B19" s="18" t="s">
        <v>27</v>
      </c>
      <c r="C19" s="17" t="s">
        <v>27</v>
      </c>
      <c r="D19" s="23" t="s">
        <v>28</v>
      </c>
      <c r="E19" s="24" t="s">
        <v>29</v>
      </c>
      <c r="F19" s="25">
        <v>10</v>
      </c>
      <c r="G19" s="25">
        <v>10</v>
      </c>
      <c r="H19" s="25">
        <v>10</v>
      </c>
      <c r="I19" s="25">
        <v>10</v>
      </c>
      <c r="J19" s="25">
        <v>10</v>
      </c>
    </row>
    <row r="20" ht="40.5" spans="1:10">
      <c r="A20" s="18" t="s">
        <v>30</v>
      </c>
      <c r="B20" s="18" t="s">
        <v>31</v>
      </c>
      <c r="C20" s="18" t="s">
        <v>32</v>
      </c>
      <c r="D20" s="26" t="s">
        <v>33</v>
      </c>
      <c r="E20" s="21" t="s">
        <v>34</v>
      </c>
      <c r="F20" s="22">
        <v>8</v>
      </c>
      <c r="G20" s="22">
        <v>10</v>
      </c>
      <c r="H20" s="22">
        <v>8</v>
      </c>
      <c r="I20" s="22">
        <v>10</v>
      </c>
      <c r="J20" s="22">
        <v>10</v>
      </c>
    </row>
    <row r="21" ht="27" spans="1:10">
      <c r="A21" s="18" t="s">
        <v>35</v>
      </c>
      <c r="B21" s="18" t="s">
        <v>36</v>
      </c>
      <c r="C21" s="18"/>
      <c r="D21" s="26" t="s">
        <v>37</v>
      </c>
      <c r="E21" s="21" t="s">
        <v>38</v>
      </c>
      <c r="F21" s="22">
        <v>0</v>
      </c>
      <c r="G21" s="22">
        <v>0</v>
      </c>
      <c r="H21" s="22">
        <v>10</v>
      </c>
      <c r="I21" s="22">
        <v>4</v>
      </c>
      <c r="J21" s="22">
        <v>0</v>
      </c>
    </row>
    <row r="22" ht="27" spans="1:10">
      <c r="A22" s="27" t="s">
        <v>39</v>
      </c>
      <c r="B22" s="17" t="s">
        <v>40</v>
      </c>
      <c r="C22" s="17" t="s">
        <v>41</v>
      </c>
      <c r="D22" s="23" t="s">
        <v>42</v>
      </c>
      <c r="E22" s="23" t="s">
        <v>43</v>
      </c>
      <c r="F22" s="25">
        <v>5</v>
      </c>
      <c r="G22" s="25">
        <v>10</v>
      </c>
      <c r="H22" s="25">
        <v>5</v>
      </c>
      <c r="I22" s="25">
        <v>10</v>
      </c>
      <c r="J22" s="25">
        <v>10</v>
      </c>
    </row>
    <row r="23" spans="1:10">
      <c r="A23" s="18" t="s">
        <v>44</v>
      </c>
      <c r="B23" s="18"/>
      <c r="C23" s="18"/>
      <c r="D23" s="18"/>
      <c r="E23" s="18"/>
      <c r="F23" s="22">
        <f>SUM(F18:F22)</f>
        <v>43</v>
      </c>
      <c r="G23" s="22">
        <f>SUM(G18:G22)</f>
        <v>50</v>
      </c>
      <c r="H23" s="22">
        <f>SUM(H18:H22)</f>
        <v>53</v>
      </c>
      <c r="I23" s="22">
        <f>SUM(I18:I22)</f>
        <v>54</v>
      </c>
      <c r="J23" s="22">
        <f>SUM(J18:J22)</f>
        <v>50</v>
      </c>
    </row>
    <row r="24" spans="1:10">
      <c r="A24" s="17" t="s">
        <v>45</v>
      </c>
      <c r="B24" s="17"/>
      <c r="C24" s="17"/>
      <c r="D24" s="17"/>
      <c r="E24" s="17"/>
      <c r="F24" s="25"/>
      <c r="G24" s="25"/>
      <c r="H24" s="25"/>
      <c r="I24" s="25"/>
      <c r="J24" s="25"/>
    </row>
    <row r="25" ht="49.5" customHeight="1" spans="1:10">
      <c r="A25" s="26" t="s">
        <v>46</v>
      </c>
      <c r="B25" s="28" t="s">
        <v>47</v>
      </c>
      <c r="C25" s="28"/>
      <c r="D25" s="28"/>
      <c r="E25" s="29" t="s">
        <v>48</v>
      </c>
      <c r="F25" s="22">
        <v>8</v>
      </c>
      <c r="G25" s="22">
        <v>10</v>
      </c>
      <c r="H25" s="22">
        <v>10</v>
      </c>
      <c r="I25" s="22">
        <v>7</v>
      </c>
      <c r="J25" s="22">
        <v>10</v>
      </c>
    </row>
    <row r="26" ht="49.5" customHeight="1" spans="1:10">
      <c r="A26" s="23" t="s">
        <v>49</v>
      </c>
      <c r="B26" s="17" t="s">
        <v>50</v>
      </c>
      <c r="C26" s="17"/>
      <c r="D26" s="17"/>
      <c r="E26" s="30" t="s">
        <v>51</v>
      </c>
      <c r="F26" s="25">
        <v>9</v>
      </c>
      <c r="G26" s="25">
        <v>9</v>
      </c>
      <c r="H26" s="25">
        <v>9</v>
      </c>
      <c r="I26" s="25">
        <v>8</v>
      </c>
      <c r="J26" s="25">
        <v>8</v>
      </c>
    </row>
    <row r="27" ht="49.5" customHeight="1" spans="1:10">
      <c r="A27" s="26" t="s">
        <v>52</v>
      </c>
      <c r="B27" s="31" t="s">
        <v>53</v>
      </c>
      <c r="C27" s="31"/>
      <c r="D27" s="31"/>
      <c r="E27" s="29" t="s">
        <v>48</v>
      </c>
      <c r="F27" s="22">
        <v>9</v>
      </c>
      <c r="G27" s="22">
        <v>8</v>
      </c>
      <c r="H27" s="22">
        <v>10</v>
      </c>
      <c r="I27" s="22">
        <v>8</v>
      </c>
      <c r="J27" s="22">
        <v>7</v>
      </c>
    </row>
    <row r="28" ht="49.5" customHeight="1" spans="1:10">
      <c r="A28" s="23" t="s">
        <v>54</v>
      </c>
      <c r="B28" s="32" t="s">
        <v>55</v>
      </c>
      <c r="C28" s="32"/>
      <c r="D28" s="32"/>
      <c r="E28" s="30" t="s">
        <v>51</v>
      </c>
      <c r="F28" s="25">
        <v>10</v>
      </c>
      <c r="G28" s="25">
        <v>5</v>
      </c>
      <c r="H28" s="25">
        <v>10</v>
      </c>
      <c r="I28" s="25">
        <v>9</v>
      </c>
      <c r="J28" s="25">
        <v>7</v>
      </c>
    </row>
    <row r="29" spans="1:10">
      <c r="A29" s="18" t="s">
        <v>56</v>
      </c>
      <c r="B29" s="18"/>
      <c r="C29" s="18"/>
      <c r="D29" s="18"/>
      <c r="E29" s="18"/>
      <c r="F29" s="22">
        <f>SUM(F24:F28)</f>
        <v>36</v>
      </c>
      <c r="G29" s="22">
        <f>SUM(G24:G28)</f>
        <v>32</v>
      </c>
      <c r="H29" s="22">
        <f>SUM(H24:H28)</f>
        <v>39</v>
      </c>
      <c r="I29" s="22">
        <f>SUM(I24:I28)</f>
        <v>32</v>
      </c>
      <c r="J29" s="22">
        <f>SUM(J24:J28)</f>
        <v>32</v>
      </c>
    </row>
    <row r="30" spans="1:10">
      <c r="A30" s="17" t="s">
        <v>57</v>
      </c>
      <c r="B30" s="17"/>
      <c r="C30" s="17"/>
      <c r="D30" s="17"/>
      <c r="E30" s="17"/>
      <c r="F30" s="25">
        <f>SUM(F23,F29)</f>
        <v>79</v>
      </c>
      <c r="G30" s="25">
        <f>SUM(G23,G29)</f>
        <v>82</v>
      </c>
      <c r="H30" s="25">
        <f>SUM(H23,H29)</f>
        <v>92</v>
      </c>
      <c r="I30" s="25">
        <f>SUM(I23,I29)</f>
        <v>86</v>
      </c>
      <c r="J30" s="25">
        <f>SUM(J23,J29)</f>
        <v>82</v>
      </c>
    </row>
    <row r="31" spans="1:10">
      <c r="A31" s="26"/>
      <c r="B31" s="22"/>
      <c r="C31" s="22"/>
      <c r="D31" s="22"/>
      <c r="E31" s="22"/>
      <c r="F31" s="22"/>
      <c r="G31" s="22"/>
      <c r="H31" s="22"/>
      <c r="I31" s="22"/>
      <c r="J31" s="22"/>
    </row>
    <row r="32" spans="1:10">
      <c r="A32" s="17" t="s">
        <v>58</v>
      </c>
      <c r="B32" s="17"/>
      <c r="C32" s="17"/>
      <c r="D32" s="17"/>
      <c r="E32" s="17"/>
      <c r="F32" s="17"/>
      <c r="G32" s="17"/>
      <c r="H32" s="17"/>
      <c r="I32" s="17"/>
      <c r="J32" s="17"/>
    </row>
    <row r="33" ht="79.5" customHeight="1" spans="1:10">
      <c r="A33" s="33" t="s">
        <v>59</v>
      </c>
      <c r="B33" s="18"/>
      <c r="C33" s="18"/>
      <c r="D33" s="18"/>
      <c r="E33" s="18"/>
      <c r="F33" s="18"/>
      <c r="G33" s="18"/>
      <c r="H33" s="18"/>
      <c r="I33" s="18"/>
      <c r="J33" s="18"/>
    </row>
  </sheetData>
  <sheetProtection formatCells="0" formatColumns="0" formatRows="0" insertRows="0" insertColumns="0" insertHyperlinks="0" deleteColumns="0" deleteRows="0" sort="0" autoFilter="0" pivotTables="0"/>
  <mergeCells count="36">
    <mergeCell ref="A1:J1"/>
    <mergeCell ref="D2:J2"/>
    <mergeCell ref="A4:J4"/>
    <mergeCell ref="A5:J5"/>
    <mergeCell ref="B6:D6"/>
    <mergeCell ref="E6:J6"/>
    <mergeCell ref="B7:D7"/>
    <mergeCell ref="E7:J7"/>
    <mergeCell ref="B8:D8"/>
    <mergeCell ref="E8:J8"/>
    <mergeCell ref="B9:D9"/>
    <mergeCell ref="E9:J9"/>
    <mergeCell ref="B10:D10"/>
    <mergeCell ref="E10:J10"/>
    <mergeCell ref="B11:D11"/>
    <mergeCell ref="E11:J11"/>
    <mergeCell ref="B12:D12"/>
    <mergeCell ref="E12:J12"/>
    <mergeCell ref="B13:D13"/>
    <mergeCell ref="E13:J13"/>
    <mergeCell ref="B14:D14"/>
    <mergeCell ref="E14:J14"/>
    <mergeCell ref="A15:J15"/>
    <mergeCell ref="A16:J16"/>
    <mergeCell ref="A23:E23"/>
    <mergeCell ref="A24:E24"/>
    <mergeCell ref="B25:D25"/>
    <mergeCell ref="B26:D26"/>
    <mergeCell ref="B27:D27"/>
    <mergeCell ref="B28:D28"/>
    <mergeCell ref="A29:E29"/>
    <mergeCell ref="A30:E30"/>
    <mergeCell ref="A32:E32"/>
    <mergeCell ref="F32:J32"/>
    <mergeCell ref="A33:J33"/>
    <mergeCell ref="A18:A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D16" sqref="D16"/>
    </sheetView>
  </sheetViews>
  <sheetFormatPr defaultColWidth="9" defaultRowHeight="13.5" outlineLevelRow="2"/>
  <sheetData>
    <row r="1" ht="23.25" spans="1:10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61</v>
      </c>
      <c r="B2" s="4"/>
      <c r="C2" s="4"/>
      <c r="D2" s="4"/>
      <c r="E2" s="5"/>
    </row>
    <row r="3" ht="38" customHeight="1" spans="1:10">
      <c r="A3" s="6"/>
      <c r="B3" s="7"/>
      <c r="C3" s="7"/>
      <c r="D3" s="7"/>
      <c r="E3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J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万</cp:lastModifiedBy>
  <dcterms:created xsi:type="dcterms:W3CDTF">2006-09-16T08:00:00Z</dcterms:created>
  <dcterms:modified xsi:type="dcterms:W3CDTF">2026-04-15T13:08:21Z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FE5A6C6EE37C408687F93AD99E0B0C91_13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